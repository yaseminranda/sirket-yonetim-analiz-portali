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Yeni klasör (3)\dosyalar\"/>
    </mc:Choice>
  </mc:AlternateContent>
  <xr:revisionPtr revIDLastSave="0" documentId="13_ncr:1_{04ED353A-F26C-435D-A151-EBDCE54FE805}" xr6:coauthVersionLast="47" xr6:coauthVersionMax="47" xr10:uidLastSave="{00000000-0000-0000-0000-000000000000}"/>
  <bookViews>
    <workbookView xWindow="2304" yWindow="2304" windowWidth="13200" windowHeight="10260" xr2:uid="{00000000-000D-0000-FFFF-FFFF00000000}"/>
  </bookViews>
  <sheets>
    <sheet name="Sayfa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I2" i="2"/>
  <c r="J2" i="2"/>
  <c r="K2" i="2"/>
  <c r="I3" i="2"/>
  <c r="J3" i="2"/>
  <c r="K3" i="2"/>
  <c r="I4" i="2"/>
  <c r="J4" i="2"/>
  <c r="K4" i="2"/>
  <c r="I5" i="2"/>
  <c r="J5" i="2"/>
  <c r="K5" i="2"/>
  <c r="I6" i="2"/>
  <c r="J6" i="2"/>
  <c r="K6" i="2"/>
  <c r="I7" i="2"/>
  <c r="J7" i="2"/>
  <c r="K7" i="2"/>
  <c r="I8" i="2"/>
  <c r="J8" i="2"/>
  <c r="K8" i="2"/>
  <c r="J9" i="2"/>
  <c r="I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I22" i="2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I29" i="2"/>
  <c r="J29" i="2"/>
  <c r="K29" i="2"/>
  <c r="I30" i="2"/>
  <c r="J30" i="2"/>
  <c r="K30" i="2"/>
  <c r="I31" i="2"/>
  <c r="J31" i="2"/>
  <c r="K31" i="2"/>
  <c r="J32" i="2"/>
  <c r="I32" i="2"/>
  <c r="K32" i="2"/>
  <c r="I33" i="2"/>
  <c r="J33" i="2"/>
  <c r="K33" i="2"/>
  <c r="J34" i="2"/>
  <c r="I34" i="2"/>
  <c r="K34" i="2"/>
  <c r="I35" i="2"/>
  <c r="J35" i="2"/>
  <c r="K35" i="2"/>
  <c r="I36" i="2"/>
  <c r="J36" i="2"/>
  <c r="K36" i="2"/>
  <c r="I37" i="2"/>
  <c r="J37" i="2"/>
  <c r="K37" i="2"/>
  <c r="I38" i="2"/>
  <c r="J38" i="2"/>
  <c r="K38" i="2"/>
  <c r="J39" i="2"/>
  <c r="I39" i="2"/>
  <c r="K39" i="2"/>
  <c r="I40" i="2"/>
  <c r="J40" i="2"/>
  <c r="K40" i="2"/>
  <c r="I41" i="2"/>
  <c r="J41" i="2"/>
  <c r="K41" i="2"/>
  <c r="J42" i="2"/>
  <c r="I42" i="2"/>
  <c r="K42" i="2"/>
  <c r="I43" i="2"/>
  <c r="J43" i="2"/>
  <c r="K43" i="2"/>
  <c r="I44" i="2"/>
  <c r="J44" i="2"/>
  <c r="K44" i="2"/>
  <c r="I45" i="2"/>
  <c r="J45" i="2"/>
  <c r="K45" i="2"/>
  <c r="I46" i="2"/>
  <c r="J46" i="2"/>
  <c r="K46" i="2"/>
  <c r="I47" i="2"/>
  <c r="J47" i="2"/>
  <c r="K47" i="2"/>
  <c r="I48" i="2"/>
  <c r="J48" i="2"/>
  <c r="K48" i="2"/>
  <c r="I49" i="2"/>
  <c r="J49" i="2"/>
  <c r="K49" i="2"/>
  <c r="I50" i="2"/>
  <c r="J50" i="2"/>
  <c r="K50" i="2"/>
  <c r="J51" i="2"/>
  <c r="I51" i="2"/>
  <c r="K51" i="2"/>
  <c r="J52" i="2"/>
  <c r="I52" i="2"/>
  <c r="K52" i="2"/>
  <c r="I53" i="2"/>
  <c r="J53" i="2"/>
  <c r="K53" i="2"/>
  <c r="I54" i="2"/>
  <c r="J54" i="2"/>
  <c r="K54" i="2"/>
  <c r="I55" i="2"/>
  <c r="J55" i="2"/>
  <c r="K55" i="2"/>
  <c r="I56" i="2"/>
  <c r="J56" i="2"/>
  <c r="K56" i="2"/>
  <c r="J57" i="2"/>
  <c r="I57" i="2"/>
  <c r="K57" i="2"/>
  <c r="J58" i="2"/>
  <c r="I58" i="2"/>
  <c r="K58" i="2"/>
  <c r="I59" i="2"/>
  <c r="J59" i="2"/>
  <c r="K59" i="2"/>
  <c r="I60" i="2"/>
  <c r="J60" i="2"/>
  <c r="K60" i="2"/>
  <c r="I61" i="2"/>
  <c r="J61" i="2"/>
  <c r="K61" i="2"/>
  <c r="I62" i="2"/>
  <c r="J62" i="2"/>
  <c r="K62" i="2"/>
  <c r="I63" i="2"/>
  <c r="J63" i="2"/>
  <c r="K63" i="2"/>
  <c r="I64" i="2"/>
  <c r="J64" i="2"/>
  <c r="K64" i="2"/>
  <c r="J65" i="2"/>
  <c r="I65" i="2"/>
  <c r="K65" i="2"/>
  <c r="I66" i="2"/>
  <c r="J66" i="2"/>
  <c r="K66" i="2"/>
  <c r="I67" i="2"/>
  <c r="J67" i="2"/>
  <c r="K67" i="2"/>
  <c r="I68" i="2"/>
  <c r="J68" i="2"/>
  <c r="K68" i="2"/>
  <c r="I69" i="2"/>
  <c r="J69" i="2"/>
  <c r="K69" i="2"/>
  <c r="I70" i="2"/>
  <c r="J70" i="2"/>
  <c r="K70" i="2"/>
  <c r="I71" i="2"/>
  <c r="J71" i="2"/>
  <c r="K71" i="2"/>
  <c r="I72" i="2"/>
  <c r="J72" i="2"/>
  <c r="K72" i="2"/>
  <c r="I73" i="2"/>
  <c r="J73" i="2"/>
  <c r="K73" i="2"/>
</calcChain>
</file>

<file path=xl/sharedStrings.xml><?xml version="1.0" encoding="utf-8"?>
<sst xmlns="http://schemas.openxmlformats.org/spreadsheetml/2006/main" count="227" uniqueCount="140">
  <si>
    <t>d10</t>
  </si>
  <si>
    <t>c11</t>
  </si>
  <si>
    <t>KS-0072</t>
  </si>
  <si>
    <t>d31</t>
  </si>
  <si>
    <t>c1</t>
  </si>
  <si>
    <t>KS-0071</t>
  </si>
  <si>
    <t>d5</t>
  </si>
  <si>
    <t>c3</t>
  </si>
  <si>
    <t>KS-0070</t>
  </si>
  <si>
    <t>d57</t>
  </si>
  <si>
    <t>KS-0069</t>
  </si>
  <si>
    <t>d15</t>
  </si>
  <si>
    <t>KS-0068</t>
  </si>
  <si>
    <t>d12</t>
  </si>
  <si>
    <t>KS-0067</t>
  </si>
  <si>
    <t>d28</t>
  </si>
  <si>
    <t>c4</t>
  </si>
  <si>
    <t>KS-0066</t>
  </si>
  <si>
    <t>d4</t>
  </si>
  <si>
    <t>KS-0065</t>
  </si>
  <si>
    <t>d45</t>
  </si>
  <si>
    <t>c2</t>
  </si>
  <si>
    <t>KS-0064</t>
  </si>
  <si>
    <t>d41</t>
  </si>
  <si>
    <t>KS-0063</t>
  </si>
  <si>
    <t>d61</t>
  </si>
  <si>
    <t>c9</t>
  </si>
  <si>
    <t>KS-0062</t>
  </si>
  <si>
    <t>d49</t>
  </si>
  <si>
    <t>KS-0061</t>
  </si>
  <si>
    <t>d46</t>
  </si>
  <si>
    <t>c10</t>
  </si>
  <si>
    <t>KS-0060</t>
  </si>
  <si>
    <t>d19</t>
  </si>
  <si>
    <t>KS-0059</t>
  </si>
  <si>
    <t>d42</t>
  </si>
  <si>
    <t>KS-0058</t>
  </si>
  <si>
    <t>d35</t>
  </si>
  <si>
    <t>KS-0057</t>
  </si>
  <si>
    <t>d39</t>
  </si>
  <si>
    <t>KS-0056</t>
  </si>
  <si>
    <t>d18</t>
  </si>
  <si>
    <t>KS-0055</t>
  </si>
  <si>
    <t>d63</t>
  </si>
  <si>
    <t>KS-0054</t>
  </si>
  <si>
    <t>d58</t>
  </si>
  <si>
    <t>KS-0053</t>
  </si>
  <si>
    <t>d24</t>
  </si>
  <si>
    <t>KS-0052</t>
  </si>
  <si>
    <t>d33</t>
  </si>
  <si>
    <t>KS-0051</t>
  </si>
  <si>
    <t>d54</t>
  </si>
  <si>
    <t>KS-0050</t>
  </si>
  <si>
    <t>d51</t>
  </si>
  <si>
    <t>KS-0049</t>
  </si>
  <si>
    <t>d1</t>
  </si>
  <si>
    <t>KS-0048</t>
  </si>
  <si>
    <t>d34</t>
  </si>
  <si>
    <t>KS-0047</t>
  </si>
  <si>
    <t>d40</t>
  </si>
  <si>
    <t>KS-0046</t>
  </si>
  <si>
    <t>d30</t>
  </si>
  <si>
    <t>KS-0045</t>
  </si>
  <si>
    <t>KS-0044</t>
  </si>
  <si>
    <t>d37</t>
  </si>
  <si>
    <t>KS-0043</t>
  </si>
  <si>
    <t>KS-0042</t>
  </si>
  <si>
    <t>KS-0041</t>
  </si>
  <si>
    <t>KS-0040</t>
  </si>
  <si>
    <t>d50</t>
  </si>
  <si>
    <t>KS-0039</t>
  </si>
  <si>
    <t>d27</t>
  </si>
  <si>
    <t>KS-0038</t>
  </si>
  <si>
    <t>KS-0037</t>
  </si>
  <si>
    <t>KS-0036</t>
  </si>
  <si>
    <t>d2</t>
  </si>
  <si>
    <t>KS-0035</t>
  </si>
  <si>
    <t>d8</t>
  </si>
  <si>
    <t>KS-0034</t>
  </si>
  <si>
    <t>d62</t>
  </si>
  <si>
    <t>KS-0033</t>
  </si>
  <si>
    <t>d36</t>
  </si>
  <si>
    <t>KS-0032</t>
  </si>
  <si>
    <t>KS-0031</t>
  </si>
  <si>
    <t>d25</t>
  </si>
  <si>
    <t>KS-0030</t>
  </si>
  <si>
    <t>KS-0029</t>
  </si>
  <si>
    <t>KS-0028</t>
  </si>
  <si>
    <t>d29</t>
  </si>
  <si>
    <t>KS-0027</t>
  </si>
  <si>
    <t>KS-0026</t>
  </si>
  <si>
    <t>d9</t>
  </si>
  <si>
    <t>KS-0025</t>
  </si>
  <si>
    <t>d22</t>
  </si>
  <si>
    <t>KS-0024</t>
  </si>
  <si>
    <t>KS-0023</t>
  </si>
  <si>
    <t>d16</t>
  </si>
  <si>
    <t>KS-0022</t>
  </si>
  <si>
    <t>d21</t>
  </si>
  <si>
    <t>KS-0021</t>
  </si>
  <si>
    <t>d26</t>
  </si>
  <si>
    <t>KS-0020</t>
  </si>
  <si>
    <t>d55</t>
  </si>
  <si>
    <t>KS-0019</t>
  </si>
  <si>
    <t>KS-0018</t>
  </si>
  <si>
    <t>KS-0017</t>
  </si>
  <si>
    <t>KS-0016</t>
  </si>
  <si>
    <t>d47</t>
  </si>
  <si>
    <t>KS-0015</t>
  </si>
  <si>
    <t>d3</t>
  </si>
  <si>
    <t>KS-0014</t>
  </si>
  <si>
    <t>KS-0013</t>
  </si>
  <si>
    <t>KS-0012</t>
  </si>
  <si>
    <t>KS-0011</t>
  </si>
  <si>
    <t>KS-0010</t>
  </si>
  <si>
    <t>d7</t>
  </si>
  <si>
    <t>KS-0009</t>
  </si>
  <si>
    <t>d38</t>
  </si>
  <si>
    <t>KS-0008</t>
  </si>
  <si>
    <t>KS-0007</t>
  </si>
  <si>
    <t>d64</t>
  </si>
  <si>
    <t>KS-0006</t>
  </si>
  <si>
    <t>KS-0005</t>
  </si>
  <si>
    <t>KS-0004</t>
  </si>
  <si>
    <t>d53</t>
  </si>
  <si>
    <t>KS-0003</t>
  </si>
  <si>
    <t>d44</t>
  </si>
  <si>
    <t>KS-0002</t>
  </si>
  <si>
    <t>KS-0001</t>
  </si>
  <si>
    <t>SOZLESME_DURUMU</t>
  </si>
  <si>
    <t>TOTAL_KIRA</t>
  </si>
  <si>
    <t>DEPOZITO</t>
  </si>
  <si>
    <t>AYLIK_KIRA (yrd)</t>
  </si>
  <si>
    <t>SURE_AY (yrd)</t>
  </si>
  <si>
    <t>BITIS_TARIHI</t>
  </si>
  <si>
    <t>BASLANGIC_TARIHI</t>
  </si>
  <si>
    <t>MUSTERI_ID</t>
  </si>
  <si>
    <t>DAIRE_ID</t>
  </si>
  <si>
    <t>ISLEMI_YAPAN_CALISAN_ID</t>
  </si>
  <si>
    <t>SOZLESME_NO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</si>
</sst>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TL&quot;"/>
    <numFmt numFmtId="165" formatCode="dd\.mm\.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808080"/>
        <bgColor rgb="FF9696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6DEA3296-0AEC-4011-B1D0-01FF2F5FC6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F927-843E-43D1-A916-C52BA2970602}">
  <dimension ref="A1:K73"/>
  <sheetViews>
    <sheetView tabSelected="1" topLeftCell="B1" zoomScaleNormal="100" workbookViewId="0">
      <pane ySplit="1" topLeftCell="A2" activePane="bottomLeft" state="frozen"/>
      <selection pane="bottomLeft" activeCell="C9" sqref="C9"/>
    </sheetView>
  </sheetViews>
  <sheetFormatPr defaultColWidth="8.6640625" defaultRowHeight="14.4" x14ac:dyDescent="0.3"/>
  <cols>
    <col min="1" max="11" width="20" style="1" customWidth="1"/>
    <col min="12" max="16384" width="8.6640625" style="1"/>
  </cols>
  <sheetData>
    <row r="1" spans="1:11" x14ac:dyDescent="0.3">
      <c r="A1" s="5" t="s">
        <v>139</v>
      </c>
      <c r="B1" s="5" t="s">
        <v>138</v>
      </c>
      <c r="C1" s="5" t="s">
        <v>137</v>
      </c>
      <c r="D1" s="5" t="s">
        <v>136</v>
      </c>
      <c r="E1" s="5" t="s">
        <v>135</v>
      </c>
      <c r="F1" s="5" t="s">
        <v>134</v>
      </c>
      <c r="G1" s="6" t="s">
        <v>133</v>
      </c>
      <c r="H1" s="6" t="s">
        <v>132</v>
      </c>
      <c r="I1" s="5" t="s">
        <v>131</v>
      </c>
      <c r="J1" s="5" t="s">
        <v>130</v>
      </c>
      <c r="K1" s="5" t="s">
        <v>129</v>
      </c>
    </row>
    <row r="2" spans="1:11" x14ac:dyDescent="0.3">
      <c r="A2" s="2" t="s">
        <v>128</v>
      </c>
      <c r="B2" s="2" t="s">
        <v>26</v>
      </c>
      <c r="C2" s="2" t="s">
        <v>81</v>
      </c>
      <c r="D2" s="2">
        <v>54</v>
      </c>
      <c r="E2" s="4">
        <v>45181</v>
      </c>
      <c r="F2" s="4">
        <v>45363</v>
      </c>
      <c r="G2" s="2">
        <f t="shared" ref="G2:G33" si="0">DATEDIF(E2,F2,"m")</f>
        <v>6</v>
      </c>
      <c r="H2" s="3">
        <v>14500</v>
      </c>
      <c r="I2" s="3">
        <f t="shared" ref="I2:I33" si="1">H2</f>
        <v>14500</v>
      </c>
      <c r="J2" s="3">
        <f t="shared" ref="J2:J33" si="2">G2*H2</f>
        <v>87000</v>
      </c>
      <c r="K2" s="2" t="str">
        <f t="shared" ref="K2:K33" ca="1" si="3">IF(F2&gt;TODAY(),"Devam Ediyor","Bitti")</f>
        <v>Bitti</v>
      </c>
    </row>
    <row r="3" spans="1:11" x14ac:dyDescent="0.3">
      <c r="A3" s="2" t="s">
        <v>127</v>
      </c>
      <c r="B3" s="2" t="s">
        <v>26</v>
      </c>
      <c r="C3" s="2" t="s">
        <v>126</v>
      </c>
      <c r="D3" s="2">
        <v>118</v>
      </c>
      <c r="E3" s="4">
        <v>45232</v>
      </c>
      <c r="F3" s="4">
        <v>45506</v>
      </c>
      <c r="G3" s="2">
        <f t="shared" si="0"/>
        <v>9</v>
      </c>
      <c r="H3" s="3">
        <v>13000</v>
      </c>
      <c r="I3" s="3">
        <f t="shared" si="1"/>
        <v>13000</v>
      </c>
      <c r="J3" s="3">
        <f t="shared" si="2"/>
        <v>117000</v>
      </c>
      <c r="K3" s="2" t="str">
        <f t="shared" ca="1" si="3"/>
        <v>Bitti</v>
      </c>
    </row>
    <row r="4" spans="1:11" x14ac:dyDescent="0.3">
      <c r="A4" s="2" t="s">
        <v>125</v>
      </c>
      <c r="B4" s="2" t="s">
        <v>26</v>
      </c>
      <c r="C4" s="2" t="s">
        <v>124</v>
      </c>
      <c r="D4" s="2">
        <v>80</v>
      </c>
      <c r="E4" s="4">
        <v>45283</v>
      </c>
      <c r="F4" s="4">
        <v>46196</v>
      </c>
      <c r="G4" s="2">
        <f t="shared" si="0"/>
        <v>30</v>
      </c>
      <c r="H4" s="3">
        <v>18500</v>
      </c>
      <c r="I4" s="3">
        <f t="shared" si="1"/>
        <v>18500</v>
      </c>
      <c r="J4" s="3">
        <f t="shared" si="2"/>
        <v>555000</v>
      </c>
      <c r="K4" s="2" t="str">
        <f t="shared" ca="1" si="3"/>
        <v>Bitti</v>
      </c>
    </row>
    <row r="5" spans="1:11" x14ac:dyDescent="0.3">
      <c r="A5" s="2" t="s">
        <v>123</v>
      </c>
      <c r="B5" s="2" t="s">
        <v>7</v>
      </c>
      <c r="C5" s="2" t="s">
        <v>11</v>
      </c>
      <c r="D5" s="2">
        <v>102</v>
      </c>
      <c r="E5" s="4">
        <v>45286</v>
      </c>
      <c r="F5" s="4">
        <v>46199</v>
      </c>
      <c r="G5" s="2">
        <f t="shared" si="0"/>
        <v>30</v>
      </c>
      <c r="H5" s="3">
        <v>11000</v>
      </c>
      <c r="I5" s="3">
        <f t="shared" si="1"/>
        <v>11000</v>
      </c>
      <c r="J5" s="3">
        <f t="shared" si="2"/>
        <v>330000</v>
      </c>
      <c r="K5" s="2" t="str">
        <f t="shared" ca="1" si="3"/>
        <v>Bitti</v>
      </c>
    </row>
    <row r="6" spans="1:11" x14ac:dyDescent="0.3">
      <c r="A6" s="2" t="s">
        <v>122</v>
      </c>
      <c r="B6" s="2" t="s">
        <v>4</v>
      </c>
      <c r="C6" s="2" t="s">
        <v>25</v>
      </c>
      <c r="D6" s="2">
        <v>10</v>
      </c>
      <c r="E6" s="4">
        <v>45316</v>
      </c>
      <c r="F6" s="4">
        <v>45590</v>
      </c>
      <c r="G6" s="2">
        <f t="shared" si="0"/>
        <v>9</v>
      </c>
      <c r="H6" s="3">
        <v>18500</v>
      </c>
      <c r="I6" s="3">
        <f t="shared" si="1"/>
        <v>18500</v>
      </c>
      <c r="J6" s="3">
        <f t="shared" si="2"/>
        <v>166500</v>
      </c>
      <c r="K6" s="2" t="str">
        <f t="shared" ca="1" si="3"/>
        <v>Bitti</v>
      </c>
    </row>
    <row r="7" spans="1:11" x14ac:dyDescent="0.3">
      <c r="A7" s="2" t="s">
        <v>121</v>
      </c>
      <c r="B7" s="2" t="s">
        <v>7</v>
      </c>
      <c r="C7" s="2" t="s">
        <v>120</v>
      </c>
      <c r="D7" s="2">
        <v>138</v>
      </c>
      <c r="E7" s="4">
        <v>45318</v>
      </c>
      <c r="F7" s="4">
        <v>45592</v>
      </c>
      <c r="G7" s="2">
        <f t="shared" si="0"/>
        <v>9</v>
      </c>
      <c r="H7" s="3">
        <v>18500</v>
      </c>
      <c r="I7" s="3">
        <f t="shared" si="1"/>
        <v>18500</v>
      </c>
      <c r="J7" s="3">
        <f t="shared" si="2"/>
        <v>166500</v>
      </c>
      <c r="K7" s="2" t="str">
        <f t="shared" ca="1" si="3"/>
        <v>Bitti</v>
      </c>
    </row>
    <row r="8" spans="1:11" x14ac:dyDescent="0.3">
      <c r="A8" s="2" t="s">
        <v>119</v>
      </c>
      <c r="B8" s="2" t="s">
        <v>7</v>
      </c>
      <c r="C8" s="2" t="s">
        <v>75</v>
      </c>
      <c r="D8" s="2">
        <v>66</v>
      </c>
      <c r="E8" s="4">
        <v>45324</v>
      </c>
      <c r="F8" s="4">
        <v>45779</v>
      </c>
      <c r="G8" s="2">
        <f t="shared" si="0"/>
        <v>15</v>
      </c>
      <c r="H8" s="3">
        <v>12000</v>
      </c>
      <c r="I8" s="3">
        <f t="shared" si="1"/>
        <v>12000</v>
      </c>
      <c r="J8" s="3">
        <f t="shared" si="2"/>
        <v>180000</v>
      </c>
      <c r="K8" s="2" t="str">
        <f t="shared" ca="1" si="3"/>
        <v>Bitti</v>
      </c>
    </row>
    <row r="9" spans="1:11" x14ac:dyDescent="0.3">
      <c r="A9" s="2" t="s">
        <v>118</v>
      </c>
      <c r="B9" s="2" t="s">
        <v>26</v>
      </c>
      <c r="C9" s="2" t="s">
        <v>117</v>
      </c>
      <c r="D9" s="2">
        <v>147</v>
      </c>
      <c r="E9" s="4">
        <v>45342</v>
      </c>
      <c r="F9" s="4">
        <v>46438</v>
      </c>
      <c r="G9" s="2">
        <f t="shared" si="0"/>
        <v>36</v>
      </c>
      <c r="H9" s="3">
        <v>2300</v>
      </c>
      <c r="I9" s="3">
        <f t="shared" si="1"/>
        <v>2300</v>
      </c>
      <c r="J9" s="3">
        <f t="shared" si="2"/>
        <v>82800</v>
      </c>
      <c r="K9" s="2" t="str">
        <f t="shared" ca="1" si="3"/>
        <v>Devam Ediyor</v>
      </c>
    </row>
    <row r="10" spans="1:11" x14ac:dyDescent="0.3">
      <c r="A10" s="2" t="s">
        <v>116</v>
      </c>
      <c r="B10" s="2" t="s">
        <v>7</v>
      </c>
      <c r="C10" s="2" t="s">
        <v>115</v>
      </c>
      <c r="D10" s="2">
        <v>58</v>
      </c>
      <c r="E10" s="4">
        <v>45359</v>
      </c>
      <c r="F10" s="4">
        <v>45543</v>
      </c>
      <c r="G10" s="2">
        <f t="shared" si="0"/>
        <v>6</v>
      </c>
      <c r="H10" s="3">
        <v>14500</v>
      </c>
      <c r="I10" s="3">
        <f t="shared" si="1"/>
        <v>14500</v>
      </c>
      <c r="J10" s="3">
        <f t="shared" si="2"/>
        <v>87000</v>
      </c>
      <c r="K10" s="2" t="str">
        <f t="shared" ca="1" si="3"/>
        <v>Bitti</v>
      </c>
    </row>
    <row r="11" spans="1:11" x14ac:dyDescent="0.3">
      <c r="A11" s="2" t="s">
        <v>114</v>
      </c>
      <c r="B11" s="2" t="s">
        <v>26</v>
      </c>
      <c r="C11" s="2" t="s">
        <v>61</v>
      </c>
      <c r="D11" s="2">
        <v>54</v>
      </c>
      <c r="E11" s="4">
        <v>45370</v>
      </c>
      <c r="F11" s="4">
        <v>45645</v>
      </c>
      <c r="G11" s="2">
        <f t="shared" si="0"/>
        <v>9</v>
      </c>
      <c r="H11" s="3">
        <v>14500</v>
      </c>
      <c r="I11" s="3">
        <f t="shared" si="1"/>
        <v>14500</v>
      </c>
      <c r="J11" s="3">
        <f t="shared" si="2"/>
        <v>130500</v>
      </c>
      <c r="K11" s="2" t="str">
        <f t="shared" ca="1" si="3"/>
        <v>Bitti</v>
      </c>
    </row>
    <row r="12" spans="1:11" x14ac:dyDescent="0.3">
      <c r="A12" s="2" t="s">
        <v>113</v>
      </c>
      <c r="B12" s="2" t="s">
        <v>4</v>
      </c>
      <c r="C12" s="2" t="s">
        <v>55</v>
      </c>
      <c r="D12" s="2">
        <v>26</v>
      </c>
      <c r="E12" s="4">
        <v>45372</v>
      </c>
      <c r="F12" s="4">
        <v>45921</v>
      </c>
      <c r="G12" s="2">
        <f t="shared" si="0"/>
        <v>18</v>
      </c>
      <c r="H12" s="3">
        <v>12000</v>
      </c>
      <c r="I12" s="3">
        <f t="shared" si="1"/>
        <v>12000</v>
      </c>
      <c r="J12" s="3">
        <f t="shared" si="2"/>
        <v>216000</v>
      </c>
      <c r="K12" s="2" t="str">
        <f t="shared" ca="1" si="3"/>
        <v>Bitti</v>
      </c>
    </row>
    <row r="13" spans="1:11" x14ac:dyDescent="0.3">
      <c r="A13" s="2" t="s">
        <v>112</v>
      </c>
      <c r="B13" s="2" t="s">
        <v>26</v>
      </c>
      <c r="C13" s="2" t="s">
        <v>6</v>
      </c>
      <c r="D13" s="2">
        <v>121</v>
      </c>
      <c r="E13" s="4">
        <v>45388</v>
      </c>
      <c r="F13" s="4">
        <v>46118</v>
      </c>
      <c r="G13" s="2">
        <f t="shared" si="0"/>
        <v>24</v>
      </c>
      <c r="H13" s="3">
        <v>18000</v>
      </c>
      <c r="I13" s="3">
        <f t="shared" si="1"/>
        <v>18000</v>
      </c>
      <c r="J13" s="3">
        <f t="shared" si="2"/>
        <v>432000</v>
      </c>
      <c r="K13" s="2" t="str">
        <f t="shared" ca="1" si="3"/>
        <v>Bitti</v>
      </c>
    </row>
    <row r="14" spans="1:11" x14ac:dyDescent="0.3">
      <c r="A14" s="2" t="s">
        <v>111</v>
      </c>
      <c r="B14" s="2" t="s">
        <v>7</v>
      </c>
      <c r="C14" s="2" t="s">
        <v>35</v>
      </c>
      <c r="D14" s="2">
        <v>133</v>
      </c>
      <c r="E14" s="4">
        <v>45390</v>
      </c>
      <c r="F14" s="4">
        <v>46120</v>
      </c>
      <c r="G14" s="2">
        <f t="shared" si="0"/>
        <v>24</v>
      </c>
      <c r="H14" s="3">
        <v>25000</v>
      </c>
      <c r="I14" s="3">
        <f t="shared" si="1"/>
        <v>25000</v>
      </c>
      <c r="J14" s="3">
        <f t="shared" si="2"/>
        <v>600000</v>
      </c>
      <c r="K14" s="2" t="str">
        <f t="shared" ca="1" si="3"/>
        <v>Bitti</v>
      </c>
    </row>
    <row r="15" spans="1:11" x14ac:dyDescent="0.3">
      <c r="A15" s="2" t="s">
        <v>110</v>
      </c>
      <c r="B15" s="2" t="s">
        <v>4</v>
      </c>
      <c r="C15" s="2" t="s">
        <v>109</v>
      </c>
      <c r="D15" s="2">
        <v>85</v>
      </c>
      <c r="E15" s="4">
        <v>45434</v>
      </c>
      <c r="F15" s="4">
        <v>46348</v>
      </c>
      <c r="G15" s="2">
        <f t="shared" si="0"/>
        <v>30</v>
      </c>
      <c r="H15" s="3">
        <v>12000</v>
      </c>
      <c r="I15" s="3">
        <f t="shared" si="1"/>
        <v>12000</v>
      </c>
      <c r="J15" s="3">
        <f t="shared" si="2"/>
        <v>360000</v>
      </c>
      <c r="K15" s="2" t="str">
        <f t="shared" ca="1" si="3"/>
        <v>Devam Ediyor</v>
      </c>
    </row>
    <row r="16" spans="1:11" x14ac:dyDescent="0.3">
      <c r="A16" s="2" t="s">
        <v>108</v>
      </c>
      <c r="B16" s="2" t="s">
        <v>4</v>
      </c>
      <c r="C16" s="2" t="s">
        <v>107</v>
      </c>
      <c r="D16" s="2">
        <v>124</v>
      </c>
      <c r="E16" s="4">
        <v>45449</v>
      </c>
      <c r="F16" s="4">
        <v>46544</v>
      </c>
      <c r="G16" s="2">
        <f t="shared" si="0"/>
        <v>36</v>
      </c>
      <c r="H16" s="3">
        <v>17000</v>
      </c>
      <c r="I16" s="3">
        <f t="shared" si="1"/>
        <v>17000</v>
      </c>
      <c r="J16" s="3">
        <f t="shared" si="2"/>
        <v>612000</v>
      </c>
      <c r="K16" s="2" t="str">
        <f t="shared" ca="1" si="3"/>
        <v>Devam Ediyor</v>
      </c>
    </row>
    <row r="17" spans="1:11" x14ac:dyDescent="0.3">
      <c r="A17" s="2" t="s">
        <v>106</v>
      </c>
      <c r="B17" s="2" t="s">
        <v>7</v>
      </c>
      <c r="C17" s="2" t="s">
        <v>81</v>
      </c>
      <c r="D17" s="2">
        <v>52</v>
      </c>
      <c r="E17" s="4">
        <v>45455</v>
      </c>
      <c r="F17" s="4">
        <v>45728</v>
      </c>
      <c r="G17" s="2">
        <f t="shared" si="0"/>
        <v>9</v>
      </c>
      <c r="H17" s="3">
        <v>14500</v>
      </c>
      <c r="I17" s="3">
        <f t="shared" si="1"/>
        <v>14500</v>
      </c>
      <c r="J17" s="3">
        <f t="shared" si="2"/>
        <v>130500</v>
      </c>
      <c r="K17" s="2" t="str">
        <f t="shared" ca="1" si="3"/>
        <v>Bitti</v>
      </c>
    </row>
    <row r="18" spans="1:11" x14ac:dyDescent="0.3">
      <c r="A18" s="2" t="s">
        <v>105</v>
      </c>
      <c r="B18" s="2" t="s">
        <v>21</v>
      </c>
      <c r="C18" s="2" t="s">
        <v>37</v>
      </c>
      <c r="D18" s="2">
        <v>53</v>
      </c>
      <c r="E18" s="4">
        <v>45462</v>
      </c>
      <c r="F18" s="4">
        <v>45827</v>
      </c>
      <c r="G18" s="2">
        <f t="shared" si="0"/>
        <v>12</v>
      </c>
      <c r="H18" s="3">
        <v>14500</v>
      </c>
      <c r="I18" s="3">
        <f t="shared" si="1"/>
        <v>14500</v>
      </c>
      <c r="J18" s="3">
        <f t="shared" si="2"/>
        <v>174000</v>
      </c>
      <c r="K18" s="2" t="str">
        <f t="shared" ca="1" si="3"/>
        <v>Bitti</v>
      </c>
    </row>
    <row r="19" spans="1:11" x14ac:dyDescent="0.3">
      <c r="A19" s="2" t="s">
        <v>104</v>
      </c>
      <c r="B19" s="2" t="s">
        <v>4</v>
      </c>
      <c r="C19" s="2" t="s">
        <v>13</v>
      </c>
      <c r="D19" s="2">
        <v>107</v>
      </c>
      <c r="E19" s="4">
        <v>45465</v>
      </c>
      <c r="F19" s="4">
        <v>46195</v>
      </c>
      <c r="G19" s="2">
        <f t="shared" si="0"/>
        <v>24</v>
      </c>
      <c r="H19" s="3">
        <v>15000</v>
      </c>
      <c r="I19" s="3">
        <f t="shared" si="1"/>
        <v>15000</v>
      </c>
      <c r="J19" s="3">
        <f t="shared" si="2"/>
        <v>360000</v>
      </c>
      <c r="K19" s="2" t="str">
        <f t="shared" ca="1" si="3"/>
        <v>Bitti</v>
      </c>
    </row>
    <row r="20" spans="1:11" x14ac:dyDescent="0.3">
      <c r="A20" s="2" t="s">
        <v>103</v>
      </c>
      <c r="B20" s="2" t="s">
        <v>4</v>
      </c>
      <c r="C20" s="2" t="s">
        <v>102</v>
      </c>
      <c r="D20" s="2">
        <v>17</v>
      </c>
      <c r="E20" s="4">
        <v>45509</v>
      </c>
      <c r="F20" s="4">
        <v>46423</v>
      </c>
      <c r="G20" s="2">
        <f t="shared" si="0"/>
        <v>30</v>
      </c>
      <c r="H20" s="3">
        <v>18500</v>
      </c>
      <c r="I20" s="3">
        <f t="shared" si="1"/>
        <v>18500</v>
      </c>
      <c r="J20" s="3">
        <f t="shared" si="2"/>
        <v>555000</v>
      </c>
      <c r="K20" s="2" t="str">
        <f t="shared" ca="1" si="3"/>
        <v>Devam Ediyor</v>
      </c>
    </row>
    <row r="21" spans="1:11" x14ac:dyDescent="0.3">
      <c r="A21" s="2" t="s">
        <v>101</v>
      </c>
      <c r="B21" s="2" t="s">
        <v>21</v>
      </c>
      <c r="C21" s="2" t="s">
        <v>100</v>
      </c>
      <c r="D21" s="2">
        <v>114</v>
      </c>
      <c r="E21" s="4">
        <v>45534</v>
      </c>
      <c r="F21" s="4">
        <v>46629</v>
      </c>
      <c r="G21" s="2">
        <f t="shared" si="0"/>
        <v>36</v>
      </c>
      <c r="H21" s="3">
        <v>19000</v>
      </c>
      <c r="I21" s="3">
        <f t="shared" si="1"/>
        <v>19000</v>
      </c>
      <c r="J21" s="3">
        <f t="shared" si="2"/>
        <v>684000</v>
      </c>
      <c r="K21" s="2" t="str">
        <f t="shared" ca="1" si="3"/>
        <v>Devam Ediyor</v>
      </c>
    </row>
    <row r="22" spans="1:11" x14ac:dyDescent="0.3">
      <c r="A22" s="2" t="s">
        <v>99</v>
      </c>
      <c r="B22" s="2" t="s">
        <v>1</v>
      </c>
      <c r="C22" s="2" t="s">
        <v>98</v>
      </c>
      <c r="D22" s="2">
        <v>49</v>
      </c>
      <c r="E22" s="4">
        <v>45562</v>
      </c>
      <c r="F22" s="4">
        <v>46108</v>
      </c>
      <c r="G22" s="2">
        <f t="shared" si="0"/>
        <v>18</v>
      </c>
      <c r="H22" s="3">
        <v>16500</v>
      </c>
      <c r="I22" s="3">
        <f t="shared" si="1"/>
        <v>16500</v>
      </c>
      <c r="J22" s="3">
        <f t="shared" si="2"/>
        <v>297000</v>
      </c>
      <c r="K22" s="2" t="str">
        <f t="shared" ca="1" si="3"/>
        <v>Bitti</v>
      </c>
    </row>
    <row r="23" spans="1:11" x14ac:dyDescent="0.3">
      <c r="A23" s="2" t="s">
        <v>97</v>
      </c>
      <c r="B23" s="2" t="s">
        <v>26</v>
      </c>
      <c r="C23" s="2" t="s">
        <v>96</v>
      </c>
      <c r="D23" s="2">
        <v>92</v>
      </c>
      <c r="E23" s="4">
        <v>45586</v>
      </c>
      <c r="F23" s="4">
        <v>46681</v>
      </c>
      <c r="G23" s="2">
        <f t="shared" si="0"/>
        <v>36</v>
      </c>
      <c r="H23" s="3">
        <v>16500</v>
      </c>
      <c r="I23" s="3">
        <f t="shared" si="1"/>
        <v>16500</v>
      </c>
      <c r="J23" s="3">
        <f t="shared" si="2"/>
        <v>594000</v>
      </c>
      <c r="K23" s="2" t="str">
        <f t="shared" ca="1" si="3"/>
        <v>Devam Ediyor</v>
      </c>
    </row>
    <row r="24" spans="1:11" x14ac:dyDescent="0.3">
      <c r="A24" s="2" t="s">
        <v>95</v>
      </c>
      <c r="B24" s="2" t="s">
        <v>1</v>
      </c>
      <c r="C24" s="2" t="s">
        <v>25</v>
      </c>
      <c r="D24" s="2">
        <v>38</v>
      </c>
      <c r="E24" s="4">
        <v>45614</v>
      </c>
      <c r="F24" s="4">
        <v>45795</v>
      </c>
      <c r="G24" s="2">
        <f t="shared" si="0"/>
        <v>6</v>
      </c>
      <c r="H24" s="3">
        <v>18500</v>
      </c>
      <c r="I24" s="3">
        <f t="shared" si="1"/>
        <v>18500</v>
      </c>
      <c r="J24" s="3">
        <f t="shared" si="2"/>
        <v>111000</v>
      </c>
      <c r="K24" s="2" t="str">
        <f t="shared" ca="1" si="3"/>
        <v>Bitti</v>
      </c>
    </row>
    <row r="25" spans="1:11" x14ac:dyDescent="0.3">
      <c r="A25" s="2" t="s">
        <v>94</v>
      </c>
      <c r="B25" s="2" t="s">
        <v>21</v>
      </c>
      <c r="C25" s="2" t="s">
        <v>93</v>
      </c>
      <c r="D25" s="2">
        <v>50</v>
      </c>
      <c r="E25" s="4">
        <v>45630</v>
      </c>
      <c r="F25" s="4">
        <v>46725</v>
      </c>
      <c r="G25" s="2">
        <f t="shared" si="0"/>
        <v>36</v>
      </c>
      <c r="H25" s="3">
        <v>16500</v>
      </c>
      <c r="I25" s="3">
        <f t="shared" si="1"/>
        <v>16500</v>
      </c>
      <c r="J25" s="3">
        <f t="shared" si="2"/>
        <v>594000</v>
      </c>
      <c r="K25" s="2" t="str">
        <f t="shared" ca="1" si="3"/>
        <v>Devam Ediyor</v>
      </c>
    </row>
    <row r="26" spans="1:11" x14ac:dyDescent="0.3">
      <c r="A26" s="2" t="s">
        <v>92</v>
      </c>
      <c r="B26" s="2" t="s">
        <v>1</v>
      </c>
      <c r="C26" s="2" t="s">
        <v>91</v>
      </c>
      <c r="D26" s="2">
        <v>90</v>
      </c>
      <c r="E26" s="4">
        <v>45639</v>
      </c>
      <c r="F26" s="4">
        <v>46551</v>
      </c>
      <c r="G26" s="2">
        <f t="shared" si="0"/>
        <v>30</v>
      </c>
      <c r="H26" s="3">
        <v>15000</v>
      </c>
      <c r="I26" s="3">
        <f t="shared" si="1"/>
        <v>15000</v>
      </c>
      <c r="J26" s="3">
        <f t="shared" si="2"/>
        <v>450000</v>
      </c>
      <c r="K26" s="2" t="str">
        <f t="shared" ca="1" si="3"/>
        <v>Devam Ediyor</v>
      </c>
    </row>
    <row r="27" spans="1:11" x14ac:dyDescent="0.3">
      <c r="A27" s="2" t="s">
        <v>90</v>
      </c>
      <c r="B27" s="2" t="s">
        <v>26</v>
      </c>
      <c r="C27" s="2" t="s">
        <v>57</v>
      </c>
      <c r="D27" s="2">
        <v>12</v>
      </c>
      <c r="E27" s="4">
        <v>45645</v>
      </c>
      <c r="F27" s="4">
        <v>45827</v>
      </c>
      <c r="G27" s="2">
        <f t="shared" si="0"/>
        <v>6</v>
      </c>
      <c r="H27" s="3">
        <v>14500</v>
      </c>
      <c r="I27" s="3">
        <f t="shared" si="1"/>
        <v>14500</v>
      </c>
      <c r="J27" s="3">
        <f t="shared" si="2"/>
        <v>87000</v>
      </c>
      <c r="K27" s="2" t="str">
        <f t="shared" ca="1" si="3"/>
        <v>Bitti</v>
      </c>
    </row>
    <row r="28" spans="1:11" x14ac:dyDescent="0.3">
      <c r="A28" s="2" t="s">
        <v>89</v>
      </c>
      <c r="B28" s="2" t="s">
        <v>7</v>
      </c>
      <c r="C28" s="2" t="s">
        <v>88</v>
      </c>
      <c r="D28" s="2">
        <v>2</v>
      </c>
      <c r="E28" s="4">
        <v>45658</v>
      </c>
      <c r="F28" s="4">
        <v>46204</v>
      </c>
      <c r="G28" s="2">
        <f t="shared" si="0"/>
        <v>18</v>
      </c>
      <c r="H28" s="3">
        <v>25000</v>
      </c>
      <c r="I28" s="3">
        <f t="shared" si="1"/>
        <v>25000</v>
      </c>
      <c r="J28" s="3">
        <f t="shared" si="2"/>
        <v>450000</v>
      </c>
      <c r="K28" s="2" t="str">
        <f t="shared" ca="1" si="3"/>
        <v>Bitti</v>
      </c>
    </row>
    <row r="29" spans="1:11" x14ac:dyDescent="0.3">
      <c r="A29" s="2" t="s">
        <v>87</v>
      </c>
      <c r="B29" s="2" t="s">
        <v>7</v>
      </c>
      <c r="C29" s="2" t="s">
        <v>3</v>
      </c>
      <c r="D29" s="2">
        <v>75</v>
      </c>
      <c r="E29" s="4">
        <v>45660</v>
      </c>
      <c r="F29" s="4">
        <v>46206</v>
      </c>
      <c r="G29" s="2">
        <f t="shared" si="0"/>
        <v>18</v>
      </c>
      <c r="H29" s="3">
        <v>14500</v>
      </c>
      <c r="I29" s="3">
        <f t="shared" si="1"/>
        <v>14500</v>
      </c>
      <c r="J29" s="3">
        <f t="shared" si="2"/>
        <v>261000</v>
      </c>
      <c r="K29" s="2" t="str">
        <f t="shared" ca="1" si="3"/>
        <v>Bitti</v>
      </c>
    </row>
    <row r="30" spans="1:11" x14ac:dyDescent="0.3">
      <c r="A30" s="2" t="s">
        <v>86</v>
      </c>
      <c r="B30" s="2" t="s">
        <v>26</v>
      </c>
      <c r="C30" s="2" t="s">
        <v>61</v>
      </c>
      <c r="D30" s="2">
        <v>149</v>
      </c>
      <c r="E30" s="4">
        <v>45716</v>
      </c>
      <c r="F30" s="4">
        <v>45897</v>
      </c>
      <c r="G30" s="2">
        <f t="shared" si="0"/>
        <v>6</v>
      </c>
      <c r="H30" s="3">
        <v>14500</v>
      </c>
      <c r="I30" s="3">
        <f t="shared" si="1"/>
        <v>14500</v>
      </c>
      <c r="J30" s="3">
        <f t="shared" si="2"/>
        <v>87000</v>
      </c>
      <c r="K30" s="2" t="str">
        <f t="shared" ca="1" si="3"/>
        <v>Bitti</v>
      </c>
    </row>
    <row r="31" spans="1:11" x14ac:dyDescent="0.3">
      <c r="A31" s="2" t="s">
        <v>85</v>
      </c>
      <c r="B31" s="2" t="s">
        <v>1</v>
      </c>
      <c r="C31" s="2" t="s">
        <v>84</v>
      </c>
      <c r="D31" s="2">
        <v>8</v>
      </c>
      <c r="E31" s="4">
        <v>45754</v>
      </c>
      <c r="F31" s="4">
        <v>46210</v>
      </c>
      <c r="G31" s="2">
        <f t="shared" si="0"/>
        <v>15</v>
      </c>
      <c r="H31" s="3">
        <v>19000</v>
      </c>
      <c r="I31" s="3">
        <f t="shared" si="1"/>
        <v>19000</v>
      </c>
      <c r="J31" s="3">
        <f t="shared" si="2"/>
        <v>285000</v>
      </c>
      <c r="K31" s="2" t="str">
        <f t="shared" ca="1" si="3"/>
        <v>Bitti</v>
      </c>
    </row>
    <row r="32" spans="1:11" x14ac:dyDescent="0.3">
      <c r="A32" s="2" t="s">
        <v>83</v>
      </c>
      <c r="B32" s="2" t="s">
        <v>7</v>
      </c>
      <c r="C32" s="2" t="s">
        <v>33</v>
      </c>
      <c r="D32" s="2">
        <v>110</v>
      </c>
      <c r="E32" s="4">
        <v>45769</v>
      </c>
      <c r="F32" s="4">
        <v>46134</v>
      </c>
      <c r="G32" s="2">
        <f t="shared" si="0"/>
        <v>12</v>
      </c>
      <c r="H32" s="3">
        <v>11000</v>
      </c>
      <c r="I32" s="3">
        <f t="shared" si="1"/>
        <v>11000</v>
      </c>
      <c r="J32" s="3">
        <f t="shared" si="2"/>
        <v>132000</v>
      </c>
      <c r="K32" s="2" t="str">
        <f t="shared" ca="1" si="3"/>
        <v>Bitti</v>
      </c>
    </row>
    <row r="33" spans="1:11" x14ac:dyDescent="0.3">
      <c r="A33" s="2" t="s">
        <v>82</v>
      </c>
      <c r="B33" s="2" t="s">
        <v>21</v>
      </c>
      <c r="C33" s="2" t="s">
        <v>81</v>
      </c>
      <c r="D33" s="2">
        <v>71</v>
      </c>
      <c r="E33" s="4">
        <v>45775</v>
      </c>
      <c r="F33" s="4">
        <v>46871</v>
      </c>
      <c r="G33" s="2">
        <f t="shared" si="0"/>
        <v>36</v>
      </c>
      <c r="H33" s="3">
        <v>14500</v>
      </c>
      <c r="I33" s="3">
        <f t="shared" si="1"/>
        <v>14500</v>
      </c>
      <c r="J33" s="3">
        <f t="shared" si="2"/>
        <v>522000</v>
      </c>
      <c r="K33" s="2" t="str">
        <f t="shared" ca="1" si="3"/>
        <v>Devam Ediyor</v>
      </c>
    </row>
    <row r="34" spans="1:11" x14ac:dyDescent="0.3">
      <c r="A34" s="2" t="s">
        <v>80</v>
      </c>
      <c r="B34" s="2" t="s">
        <v>26</v>
      </c>
      <c r="C34" s="2" t="s">
        <v>79</v>
      </c>
      <c r="D34" s="2">
        <v>6</v>
      </c>
      <c r="E34" s="4">
        <v>45779</v>
      </c>
      <c r="F34" s="4">
        <v>46693</v>
      </c>
      <c r="G34" s="2">
        <f t="shared" ref="G34:G65" si="4">DATEDIF(E34,F34,"m")</f>
        <v>30</v>
      </c>
      <c r="H34" s="3">
        <v>18500</v>
      </c>
      <c r="I34" s="3">
        <f t="shared" ref="I34:I65" si="5">H34</f>
        <v>18500</v>
      </c>
      <c r="J34" s="3">
        <f t="shared" ref="J34:J65" si="6">G34*H34</f>
        <v>555000</v>
      </c>
      <c r="K34" s="2" t="str">
        <f t="shared" ref="K34:K65" ca="1" si="7">IF(F34&gt;TODAY(),"Devam Ediyor","Bitti")</f>
        <v>Devam Ediyor</v>
      </c>
    </row>
    <row r="35" spans="1:11" x14ac:dyDescent="0.3">
      <c r="A35" s="2" t="s">
        <v>78</v>
      </c>
      <c r="B35" s="2" t="s">
        <v>4</v>
      </c>
      <c r="C35" s="2" t="s">
        <v>77</v>
      </c>
      <c r="D35" s="2">
        <v>72</v>
      </c>
      <c r="E35" s="4">
        <v>45798</v>
      </c>
      <c r="F35" s="4">
        <v>46528</v>
      </c>
      <c r="G35" s="2">
        <f t="shared" si="4"/>
        <v>24</v>
      </c>
      <c r="H35" s="3">
        <v>19500</v>
      </c>
      <c r="I35" s="3">
        <f t="shared" si="5"/>
        <v>19500</v>
      </c>
      <c r="J35" s="3">
        <f t="shared" si="6"/>
        <v>468000</v>
      </c>
      <c r="K35" s="2" t="str">
        <f t="shared" ca="1" si="7"/>
        <v>Devam Ediyor</v>
      </c>
    </row>
    <row r="36" spans="1:11" x14ac:dyDescent="0.3">
      <c r="A36" s="2" t="s">
        <v>76</v>
      </c>
      <c r="B36" s="2" t="s">
        <v>4</v>
      </c>
      <c r="C36" s="2" t="s">
        <v>75</v>
      </c>
      <c r="D36" s="2">
        <v>112</v>
      </c>
      <c r="E36" s="4">
        <v>45808</v>
      </c>
      <c r="F36" s="4">
        <v>46904</v>
      </c>
      <c r="G36" s="2">
        <f t="shared" si="4"/>
        <v>36</v>
      </c>
      <c r="H36" s="3">
        <v>12000</v>
      </c>
      <c r="I36" s="3">
        <f t="shared" si="5"/>
        <v>12000</v>
      </c>
      <c r="J36" s="3">
        <f t="shared" si="6"/>
        <v>432000</v>
      </c>
      <c r="K36" s="2" t="str">
        <f t="shared" ca="1" si="7"/>
        <v>Devam Ediyor</v>
      </c>
    </row>
    <row r="37" spans="1:11" x14ac:dyDescent="0.3">
      <c r="A37" s="2" t="s">
        <v>74</v>
      </c>
      <c r="B37" s="2" t="s">
        <v>21</v>
      </c>
      <c r="C37" s="2" t="s">
        <v>15</v>
      </c>
      <c r="D37" s="2">
        <v>66</v>
      </c>
      <c r="E37" s="4">
        <v>45810</v>
      </c>
      <c r="F37" s="4">
        <v>46175</v>
      </c>
      <c r="G37" s="2">
        <f t="shared" si="4"/>
        <v>12</v>
      </c>
      <c r="H37" s="3">
        <v>25000</v>
      </c>
      <c r="I37" s="3">
        <f t="shared" si="5"/>
        <v>25000</v>
      </c>
      <c r="J37" s="3">
        <f t="shared" si="6"/>
        <v>300000</v>
      </c>
      <c r="K37" s="2" t="str">
        <f t="shared" ca="1" si="7"/>
        <v>Bitti</v>
      </c>
    </row>
    <row r="38" spans="1:11" x14ac:dyDescent="0.3">
      <c r="A38" s="2" t="s">
        <v>73</v>
      </c>
      <c r="B38" s="2" t="s">
        <v>21</v>
      </c>
      <c r="C38" s="2" t="s">
        <v>20</v>
      </c>
      <c r="D38" s="2">
        <v>28</v>
      </c>
      <c r="E38" s="4">
        <v>45812</v>
      </c>
      <c r="F38" s="4">
        <v>46177</v>
      </c>
      <c r="G38" s="2">
        <f t="shared" si="4"/>
        <v>12</v>
      </c>
      <c r="H38" s="3">
        <v>17000</v>
      </c>
      <c r="I38" s="3">
        <f t="shared" si="5"/>
        <v>17000</v>
      </c>
      <c r="J38" s="3">
        <f t="shared" si="6"/>
        <v>204000</v>
      </c>
      <c r="K38" s="2" t="str">
        <f t="shared" ca="1" si="7"/>
        <v>Bitti</v>
      </c>
    </row>
    <row r="39" spans="1:11" x14ac:dyDescent="0.3">
      <c r="A39" s="2" t="s">
        <v>72</v>
      </c>
      <c r="B39" s="2" t="s">
        <v>1</v>
      </c>
      <c r="C39" s="2" t="s">
        <v>71</v>
      </c>
      <c r="D39" s="2">
        <v>146</v>
      </c>
      <c r="E39" s="4">
        <v>45816</v>
      </c>
      <c r="F39" s="4">
        <v>46273</v>
      </c>
      <c r="G39" s="2">
        <f t="shared" si="4"/>
        <v>15</v>
      </c>
      <c r="H39" s="3">
        <v>25000</v>
      </c>
      <c r="I39" s="3">
        <f t="shared" si="5"/>
        <v>25000</v>
      </c>
      <c r="J39" s="3">
        <f t="shared" si="6"/>
        <v>375000</v>
      </c>
      <c r="K39" s="2" t="str">
        <f t="shared" ca="1" si="7"/>
        <v>Devam Ediyor</v>
      </c>
    </row>
    <row r="40" spans="1:11" x14ac:dyDescent="0.3">
      <c r="A40" s="2" t="s">
        <v>70</v>
      </c>
      <c r="B40" s="2" t="s">
        <v>21</v>
      </c>
      <c r="C40" s="2" t="s">
        <v>69</v>
      </c>
      <c r="D40" s="2">
        <v>13</v>
      </c>
      <c r="E40" s="4">
        <v>45846</v>
      </c>
      <c r="F40" s="4">
        <v>46395</v>
      </c>
      <c r="G40" s="2">
        <f t="shared" si="4"/>
        <v>18</v>
      </c>
      <c r="H40" s="3">
        <v>18500</v>
      </c>
      <c r="I40" s="3">
        <f t="shared" si="5"/>
        <v>18500</v>
      </c>
      <c r="J40" s="3">
        <f t="shared" si="6"/>
        <v>333000</v>
      </c>
      <c r="K40" s="2" t="str">
        <f t="shared" ca="1" si="7"/>
        <v>Devam Ediyor</v>
      </c>
    </row>
    <row r="41" spans="1:11" x14ac:dyDescent="0.3">
      <c r="A41" s="2" t="s">
        <v>68</v>
      </c>
      <c r="B41" s="2" t="s">
        <v>4</v>
      </c>
      <c r="C41" s="2" t="s">
        <v>37</v>
      </c>
      <c r="D41" s="2">
        <v>118</v>
      </c>
      <c r="E41" s="4">
        <v>45854</v>
      </c>
      <c r="F41" s="4">
        <v>46038</v>
      </c>
      <c r="G41" s="2">
        <f t="shared" si="4"/>
        <v>6</v>
      </c>
      <c r="H41" s="3">
        <v>14500</v>
      </c>
      <c r="I41" s="3">
        <f t="shared" si="5"/>
        <v>14500</v>
      </c>
      <c r="J41" s="3">
        <f t="shared" si="6"/>
        <v>87000</v>
      </c>
      <c r="K41" s="2" t="str">
        <f t="shared" ca="1" si="7"/>
        <v>Bitti</v>
      </c>
    </row>
    <row r="42" spans="1:11" x14ac:dyDescent="0.3">
      <c r="A42" s="2" t="s">
        <v>67</v>
      </c>
      <c r="B42" s="2" t="s">
        <v>7</v>
      </c>
      <c r="C42" s="2" t="s">
        <v>18</v>
      </c>
      <c r="D42" s="2">
        <v>4</v>
      </c>
      <c r="E42" s="4">
        <v>45906</v>
      </c>
      <c r="F42" s="4">
        <v>46179</v>
      </c>
      <c r="G42" s="2">
        <f t="shared" si="4"/>
        <v>9</v>
      </c>
      <c r="H42" s="3">
        <v>18000</v>
      </c>
      <c r="I42" s="3">
        <f t="shared" si="5"/>
        <v>18000</v>
      </c>
      <c r="J42" s="3">
        <f t="shared" si="6"/>
        <v>162000</v>
      </c>
      <c r="K42" s="2" t="str">
        <f t="shared" ca="1" si="7"/>
        <v>Bitti</v>
      </c>
    </row>
    <row r="43" spans="1:11" x14ac:dyDescent="0.3">
      <c r="A43" s="2" t="s">
        <v>66</v>
      </c>
      <c r="B43" s="2" t="s">
        <v>21</v>
      </c>
      <c r="C43" s="2" t="s">
        <v>25</v>
      </c>
      <c r="D43" s="2">
        <v>9</v>
      </c>
      <c r="E43" s="4">
        <v>45912</v>
      </c>
      <c r="F43" s="4">
        <v>46093</v>
      </c>
      <c r="G43" s="2">
        <f t="shared" si="4"/>
        <v>6</v>
      </c>
      <c r="H43" s="3">
        <v>18500</v>
      </c>
      <c r="I43" s="3">
        <f t="shared" si="5"/>
        <v>18500</v>
      </c>
      <c r="J43" s="3">
        <f t="shared" si="6"/>
        <v>111000</v>
      </c>
      <c r="K43" s="2" t="str">
        <f t="shared" ca="1" si="7"/>
        <v>Bitti</v>
      </c>
    </row>
    <row r="44" spans="1:11" x14ac:dyDescent="0.3">
      <c r="A44" s="2" t="s">
        <v>65</v>
      </c>
      <c r="B44" s="2" t="s">
        <v>21</v>
      </c>
      <c r="C44" s="2" t="s">
        <v>64</v>
      </c>
      <c r="D44" s="2">
        <v>109</v>
      </c>
      <c r="E44" s="4">
        <v>45916</v>
      </c>
      <c r="F44" s="4">
        <v>46189</v>
      </c>
      <c r="G44" s="2">
        <f t="shared" si="4"/>
        <v>9</v>
      </c>
      <c r="H44" s="3">
        <v>23000</v>
      </c>
      <c r="I44" s="3">
        <f t="shared" si="5"/>
        <v>23000</v>
      </c>
      <c r="J44" s="3">
        <f t="shared" si="6"/>
        <v>207000</v>
      </c>
      <c r="K44" s="2" t="str">
        <f t="shared" ca="1" si="7"/>
        <v>Bitti</v>
      </c>
    </row>
    <row r="45" spans="1:11" x14ac:dyDescent="0.3">
      <c r="A45" s="2" t="s">
        <v>63</v>
      </c>
      <c r="B45" s="2" t="s">
        <v>26</v>
      </c>
      <c r="C45" s="2" t="s">
        <v>0</v>
      </c>
      <c r="D45" s="2">
        <v>95</v>
      </c>
      <c r="E45" s="4">
        <v>45942</v>
      </c>
      <c r="F45" s="4">
        <v>46215</v>
      </c>
      <c r="G45" s="2">
        <f t="shared" si="4"/>
        <v>9</v>
      </c>
      <c r="H45" s="3">
        <v>20000</v>
      </c>
      <c r="I45" s="3">
        <f t="shared" si="5"/>
        <v>20000</v>
      </c>
      <c r="J45" s="3">
        <f t="shared" si="6"/>
        <v>180000</v>
      </c>
      <c r="K45" s="2" t="str">
        <f t="shared" ca="1" si="7"/>
        <v>Bitti</v>
      </c>
    </row>
    <row r="46" spans="1:11" x14ac:dyDescent="0.3">
      <c r="A46" s="2" t="s">
        <v>62</v>
      </c>
      <c r="B46" s="2" t="s">
        <v>4</v>
      </c>
      <c r="C46" s="2" t="s">
        <v>61</v>
      </c>
      <c r="D46" s="2">
        <v>93</v>
      </c>
      <c r="E46" s="4">
        <v>45950</v>
      </c>
      <c r="F46" s="4">
        <v>46407</v>
      </c>
      <c r="G46" s="2">
        <f t="shared" si="4"/>
        <v>15</v>
      </c>
      <c r="H46" s="3">
        <v>14500</v>
      </c>
      <c r="I46" s="3">
        <f t="shared" si="5"/>
        <v>14500</v>
      </c>
      <c r="J46" s="3">
        <f t="shared" si="6"/>
        <v>217500</v>
      </c>
      <c r="K46" s="2" t="str">
        <f t="shared" ca="1" si="7"/>
        <v>Devam Ediyor</v>
      </c>
    </row>
    <row r="47" spans="1:11" x14ac:dyDescent="0.3">
      <c r="A47" s="2" t="s">
        <v>60</v>
      </c>
      <c r="B47" s="2" t="s">
        <v>7</v>
      </c>
      <c r="C47" s="2" t="s">
        <v>59</v>
      </c>
      <c r="D47" s="2">
        <v>125</v>
      </c>
      <c r="E47" s="4">
        <v>45955</v>
      </c>
      <c r="F47" s="4">
        <v>46685</v>
      </c>
      <c r="G47" s="2">
        <f t="shared" si="4"/>
        <v>24</v>
      </c>
      <c r="H47" s="3">
        <v>25000</v>
      </c>
      <c r="I47" s="3">
        <f t="shared" si="5"/>
        <v>25000</v>
      </c>
      <c r="J47" s="3">
        <f t="shared" si="6"/>
        <v>600000</v>
      </c>
      <c r="K47" s="2" t="str">
        <f t="shared" ca="1" si="7"/>
        <v>Devam Ediyor</v>
      </c>
    </row>
    <row r="48" spans="1:11" x14ac:dyDescent="0.3">
      <c r="A48" s="2" t="s">
        <v>58</v>
      </c>
      <c r="B48" s="2" t="s">
        <v>21</v>
      </c>
      <c r="C48" s="2" t="s">
        <v>57</v>
      </c>
      <c r="D48" s="2">
        <v>86</v>
      </c>
      <c r="E48" s="4">
        <v>45956</v>
      </c>
      <c r="F48" s="4">
        <v>46138</v>
      </c>
      <c r="G48" s="2">
        <f t="shared" si="4"/>
        <v>6</v>
      </c>
      <c r="H48" s="3">
        <v>14500</v>
      </c>
      <c r="I48" s="3">
        <f t="shared" si="5"/>
        <v>14500</v>
      </c>
      <c r="J48" s="3">
        <f t="shared" si="6"/>
        <v>87000</v>
      </c>
      <c r="K48" s="2" t="str">
        <f t="shared" ca="1" si="7"/>
        <v>Bitti</v>
      </c>
    </row>
    <row r="49" spans="1:11" x14ac:dyDescent="0.3">
      <c r="A49" s="2" t="s">
        <v>56</v>
      </c>
      <c r="B49" s="2" t="s">
        <v>4</v>
      </c>
      <c r="C49" s="2" t="s">
        <v>55</v>
      </c>
      <c r="D49" s="2">
        <v>104</v>
      </c>
      <c r="E49" s="4">
        <v>45957</v>
      </c>
      <c r="F49" s="4">
        <v>46414</v>
      </c>
      <c r="G49" s="2">
        <f t="shared" si="4"/>
        <v>15</v>
      </c>
      <c r="H49" s="3">
        <v>12000</v>
      </c>
      <c r="I49" s="3">
        <f t="shared" si="5"/>
        <v>12000</v>
      </c>
      <c r="J49" s="3">
        <f t="shared" si="6"/>
        <v>180000</v>
      </c>
      <c r="K49" s="2" t="str">
        <f t="shared" ca="1" si="7"/>
        <v>Devam Ediyor</v>
      </c>
    </row>
    <row r="50" spans="1:11" x14ac:dyDescent="0.3">
      <c r="A50" s="2" t="s">
        <v>54</v>
      </c>
      <c r="B50" s="2" t="s">
        <v>26</v>
      </c>
      <c r="C50" s="2" t="s">
        <v>53</v>
      </c>
      <c r="D50" s="2">
        <v>82</v>
      </c>
      <c r="E50" s="4">
        <v>45986</v>
      </c>
      <c r="F50" s="4">
        <v>47082</v>
      </c>
      <c r="G50" s="2">
        <f t="shared" si="4"/>
        <v>36</v>
      </c>
      <c r="H50" s="3">
        <v>18500</v>
      </c>
      <c r="I50" s="3">
        <f t="shared" si="5"/>
        <v>18500</v>
      </c>
      <c r="J50" s="3">
        <f t="shared" si="6"/>
        <v>666000</v>
      </c>
      <c r="K50" s="2" t="str">
        <f t="shared" ca="1" si="7"/>
        <v>Devam Ediyor</v>
      </c>
    </row>
    <row r="51" spans="1:11" x14ac:dyDescent="0.3">
      <c r="A51" s="2" t="s">
        <v>52</v>
      </c>
      <c r="B51" s="2" t="s">
        <v>4</v>
      </c>
      <c r="C51" s="2" t="s">
        <v>51</v>
      </c>
      <c r="D51" s="2">
        <v>43</v>
      </c>
      <c r="E51" s="4">
        <v>46003</v>
      </c>
      <c r="F51" s="4">
        <v>46458</v>
      </c>
      <c r="G51" s="2">
        <f t="shared" si="4"/>
        <v>15</v>
      </c>
      <c r="H51" s="3">
        <v>18500</v>
      </c>
      <c r="I51" s="3">
        <f t="shared" si="5"/>
        <v>18500</v>
      </c>
      <c r="J51" s="3">
        <f t="shared" si="6"/>
        <v>277500</v>
      </c>
      <c r="K51" s="2" t="str">
        <f t="shared" ca="1" si="7"/>
        <v>Devam Ediyor</v>
      </c>
    </row>
    <row r="52" spans="1:11" x14ac:dyDescent="0.3">
      <c r="A52" s="2" t="s">
        <v>50</v>
      </c>
      <c r="B52" s="2" t="s">
        <v>7</v>
      </c>
      <c r="C52" s="2" t="s">
        <v>49</v>
      </c>
      <c r="D52" s="2">
        <v>16</v>
      </c>
      <c r="E52" s="4">
        <v>46007</v>
      </c>
      <c r="F52" s="4">
        <v>46462</v>
      </c>
      <c r="G52" s="2">
        <f t="shared" si="4"/>
        <v>15</v>
      </c>
      <c r="H52" s="3">
        <v>14500</v>
      </c>
      <c r="I52" s="3">
        <f t="shared" si="5"/>
        <v>14500</v>
      </c>
      <c r="J52" s="3">
        <f t="shared" si="6"/>
        <v>217500</v>
      </c>
      <c r="K52" s="2" t="str">
        <f t="shared" ca="1" si="7"/>
        <v>Devam Ediyor</v>
      </c>
    </row>
    <row r="53" spans="1:11" x14ac:dyDescent="0.3">
      <c r="A53" s="2" t="s">
        <v>48</v>
      </c>
      <c r="B53" s="2" t="s">
        <v>7</v>
      </c>
      <c r="C53" s="2" t="s">
        <v>47</v>
      </c>
      <c r="D53" s="2">
        <v>67</v>
      </c>
      <c r="E53" s="4">
        <v>46045</v>
      </c>
      <c r="F53" s="4">
        <v>46410</v>
      </c>
      <c r="G53" s="2">
        <f t="shared" si="4"/>
        <v>12</v>
      </c>
      <c r="H53" s="3">
        <v>19000</v>
      </c>
      <c r="I53" s="3">
        <f t="shared" si="5"/>
        <v>19000</v>
      </c>
      <c r="J53" s="3">
        <f t="shared" si="6"/>
        <v>228000</v>
      </c>
      <c r="K53" s="2" t="str">
        <f t="shared" ca="1" si="7"/>
        <v>Devam Ediyor</v>
      </c>
    </row>
    <row r="54" spans="1:11" x14ac:dyDescent="0.3">
      <c r="A54" s="2" t="s">
        <v>46</v>
      </c>
      <c r="B54" s="2" t="s">
        <v>1</v>
      </c>
      <c r="C54" s="2" t="s">
        <v>45</v>
      </c>
      <c r="D54" s="2">
        <v>39</v>
      </c>
      <c r="E54" s="4">
        <v>46049</v>
      </c>
      <c r="F54" s="4">
        <v>46414</v>
      </c>
      <c r="G54" s="2">
        <f t="shared" si="4"/>
        <v>12</v>
      </c>
      <c r="H54" s="3">
        <v>18500</v>
      </c>
      <c r="I54" s="3">
        <f t="shared" si="5"/>
        <v>18500</v>
      </c>
      <c r="J54" s="3">
        <f t="shared" si="6"/>
        <v>222000</v>
      </c>
      <c r="K54" s="2" t="str">
        <f t="shared" ca="1" si="7"/>
        <v>Devam Ediyor</v>
      </c>
    </row>
    <row r="55" spans="1:11" x14ac:dyDescent="0.3">
      <c r="A55" s="2" t="s">
        <v>44</v>
      </c>
      <c r="B55" s="2" t="s">
        <v>26</v>
      </c>
      <c r="C55" s="2" t="s">
        <v>43</v>
      </c>
      <c r="D55" s="2">
        <v>14</v>
      </c>
      <c r="E55" s="4">
        <v>46055</v>
      </c>
      <c r="F55" s="4">
        <v>46601</v>
      </c>
      <c r="G55" s="2">
        <f t="shared" si="4"/>
        <v>18</v>
      </c>
      <c r="H55" s="3">
        <v>18500</v>
      </c>
      <c r="I55" s="3">
        <f t="shared" si="5"/>
        <v>18500</v>
      </c>
      <c r="J55" s="3">
        <f t="shared" si="6"/>
        <v>333000</v>
      </c>
      <c r="K55" s="2" t="str">
        <f t="shared" ca="1" si="7"/>
        <v>Devam Ediyor</v>
      </c>
    </row>
    <row r="56" spans="1:11" x14ac:dyDescent="0.3">
      <c r="A56" s="2" t="s">
        <v>42</v>
      </c>
      <c r="B56" s="2" t="s">
        <v>7</v>
      </c>
      <c r="C56" s="2" t="s">
        <v>41</v>
      </c>
      <c r="D56" s="2">
        <v>65</v>
      </c>
      <c r="E56" s="4">
        <v>46059</v>
      </c>
      <c r="F56" s="4">
        <v>46240</v>
      </c>
      <c r="G56" s="2">
        <f t="shared" si="4"/>
        <v>6</v>
      </c>
      <c r="H56" s="3">
        <v>16500</v>
      </c>
      <c r="I56" s="3">
        <f t="shared" si="5"/>
        <v>16500</v>
      </c>
      <c r="J56" s="3">
        <f t="shared" si="6"/>
        <v>99000</v>
      </c>
      <c r="K56" s="2" t="str">
        <f t="shared" ca="1" si="7"/>
        <v>Devam Ediyor</v>
      </c>
    </row>
    <row r="57" spans="1:11" x14ac:dyDescent="0.3">
      <c r="A57" s="2" t="s">
        <v>40</v>
      </c>
      <c r="B57" s="2" t="s">
        <v>1</v>
      </c>
      <c r="C57" s="2" t="s">
        <v>39</v>
      </c>
      <c r="D57" s="2">
        <v>149</v>
      </c>
      <c r="E57" s="4">
        <v>46094</v>
      </c>
      <c r="F57" s="4">
        <v>47190</v>
      </c>
      <c r="G57" s="2">
        <f t="shared" si="4"/>
        <v>36</v>
      </c>
      <c r="H57" s="3">
        <v>25000</v>
      </c>
      <c r="I57" s="3">
        <f t="shared" si="5"/>
        <v>25000</v>
      </c>
      <c r="J57" s="3">
        <f t="shared" si="6"/>
        <v>900000</v>
      </c>
      <c r="K57" s="2" t="str">
        <f t="shared" ca="1" si="7"/>
        <v>Devam Ediyor</v>
      </c>
    </row>
    <row r="58" spans="1:11" x14ac:dyDescent="0.3">
      <c r="A58" s="2" t="s">
        <v>38</v>
      </c>
      <c r="B58" s="2" t="s">
        <v>26</v>
      </c>
      <c r="C58" s="2" t="s">
        <v>37</v>
      </c>
      <c r="D58" s="2">
        <v>134</v>
      </c>
      <c r="E58" s="4">
        <v>46096</v>
      </c>
      <c r="F58" s="4">
        <v>46645</v>
      </c>
      <c r="G58" s="2">
        <f t="shared" si="4"/>
        <v>18</v>
      </c>
      <c r="H58" s="3">
        <v>14500</v>
      </c>
      <c r="I58" s="3">
        <f t="shared" si="5"/>
        <v>14500</v>
      </c>
      <c r="J58" s="3">
        <f t="shared" si="6"/>
        <v>261000</v>
      </c>
      <c r="K58" s="2" t="str">
        <f t="shared" ca="1" si="7"/>
        <v>Devam Ediyor</v>
      </c>
    </row>
    <row r="59" spans="1:11" x14ac:dyDescent="0.3">
      <c r="A59" s="2" t="s">
        <v>36</v>
      </c>
      <c r="B59" s="2" t="s">
        <v>7</v>
      </c>
      <c r="C59" s="2" t="s">
        <v>35</v>
      </c>
      <c r="D59" s="2">
        <v>96</v>
      </c>
      <c r="E59" s="4">
        <v>46135</v>
      </c>
      <c r="F59" s="4">
        <v>46683</v>
      </c>
      <c r="G59" s="2">
        <f t="shared" si="4"/>
        <v>18</v>
      </c>
      <c r="H59" s="3">
        <v>25000</v>
      </c>
      <c r="I59" s="3">
        <f t="shared" si="5"/>
        <v>25000</v>
      </c>
      <c r="J59" s="3">
        <f t="shared" si="6"/>
        <v>450000</v>
      </c>
      <c r="K59" s="2" t="str">
        <f t="shared" ca="1" si="7"/>
        <v>Devam Ediyor</v>
      </c>
    </row>
    <row r="60" spans="1:11" x14ac:dyDescent="0.3">
      <c r="A60" s="2" t="s">
        <v>34</v>
      </c>
      <c r="B60" s="2" t="s">
        <v>1</v>
      </c>
      <c r="C60" s="2" t="s">
        <v>33</v>
      </c>
      <c r="D60" s="2">
        <v>24</v>
      </c>
      <c r="E60" s="4">
        <v>46145</v>
      </c>
      <c r="F60" s="4">
        <v>47060</v>
      </c>
      <c r="G60" s="2">
        <f t="shared" si="4"/>
        <v>30</v>
      </c>
      <c r="H60" s="3">
        <v>11000</v>
      </c>
      <c r="I60" s="3">
        <f t="shared" si="5"/>
        <v>11000</v>
      </c>
      <c r="J60" s="3">
        <f t="shared" si="6"/>
        <v>330000</v>
      </c>
      <c r="K60" s="2" t="str">
        <f t="shared" ca="1" si="7"/>
        <v>Devam Ediyor</v>
      </c>
    </row>
    <row r="61" spans="1:11" x14ac:dyDescent="0.3">
      <c r="A61" s="2" t="s">
        <v>32</v>
      </c>
      <c r="B61" s="2" t="s">
        <v>31</v>
      </c>
      <c r="C61" s="2" t="s">
        <v>30</v>
      </c>
      <c r="D61" s="2">
        <v>81</v>
      </c>
      <c r="E61" s="4">
        <v>46150</v>
      </c>
      <c r="F61" s="4">
        <v>46699</v>
      </c>
      <c r="G61" s="2">
        <f t="shared" si="4"/>
        <v>18</v>
      </c>
      <c r="H61" s="3">
        <v>17000</v>
      </c>
      <c r="I61" s="3">
        <f t="shared" si="5"/>
        <v>17000</v>
      </c>
      <c r="J61" s="3">
        <f t="shared" si="6"/>
        <v>306000</v>
      </c>
      <c r="K61" s="2" t="str">
        <f t="shared" ca="1" si="7"/>
        <v>Devam Ediyor</v>
      </c>
    </row>
    <row r="62" spans="1:11" x14ac:dyDescent="0.3">
      <c r="A62" s="2" t="s">
        <v>29</v>
      </c>
      <c r="B62" s="2" t="s">
        <v>16</v>
      </c>
      <c r="C62" s="2" t="s">
        <v>28</v>
      </c>
      <c r="D62" s="2">
        <v>7</v>
      </c>
      <c r="E62" s="4">
        <v>46163</v>
      </c>
      <c r="F62" s="4">
        <v>47078</v>
      </c>
      <c r="G62" s="2">
        <f t="shared" si="4"/>
        <v>30</v>
      </c>
      <c r="H62" s="3">
        <v>17000</v>
      </c>
      <c r="I62" s="3">
        <f t="shared" si="5"/>
        <v>17000</v>
      </c>
      <c r="J62" s="3">
        <f t="shared" si="6"/>
        <v>510000</v>
      </c>
      <c r="K62" s="2" t="str">
        <f t="shared" ca="1" si="7"/>
        <v>Devam Ediyor</v>
      </c>
    </row>
    <row r="63" spans="1:11" x14ac:dyDescent="0.3">
      <c r="A63" s="2" t="s">
        <v>27</v>
      </c>
      <c r="B63" s="2" t="s">
        <v>26</v>
      </c>
      <c r="C63" s="2" t="s">
        <v>25</v>
      </c>
      <c r="D63" s="2">
        <v>98</v>
      </c>
      <c r="E63" s="4">
        <v>46175</v>
      </c>
      <c r="F63" s="4">
        <v>46540</v>
      </c>
      <c r="G63" s="2">
        <f t="shared" si="4"/>
        <v>12</v>
      </c>
      <c r="H63" s="3">
        <v>18500</v>
      </c>
      <c r="I63" s="3">
        <f t="shared" si="5"/>
        <v>18500</v>
      </c>
      <c r="J63" s="3">
        <f t="shared" si="6"/>
        <v>222000</v>
      </c>
      <c r="K63" s="2" t="str">
        <f t="shared" ca="1" si="7"/>
        <v>Devam Ediyor</v>
      </c>
    </row>
    <row r="64" spans="1:11" x14ac:dyDescent="0.3">
      <c r="A64" s="2" t="s">
        <v>24</v>
      </c>
      <c r="B64" s="2" t="s">
        <v>1</v>
      </c>
      <c r="C64" s="2" t="s">
        <v>23</v>
      </c>
      <c r="D64" s="2">
        <v>47</v>
      </c>
      <c r="E64" s="4">
        <v>46175</v>
      </c>
      <c r="F64" s="4">
        <v>46540</v>
      </c>
      <c r="G64" s="2">
        <f t="shared" si="4"/>
        <v>12</v>
      </c>
      <c r="H64" s="3">
        <v>25000</v>
      </c>
      <c r="I64" s="3">
        <f t="shared" si="5"/>
        <v>25000</v>
      </c>
      <c r="J64" s="3">
        <f t="shared" si="6"/>
        <v>300000</v>
      </c>
      <c r="K64" s="2" t="str">
        <f t="shared" ca="1" si="7"/>
        <v>Devam Ediyor</v>
      </c>
    </row>
    <row r="65" spans="1:11" x14ac:dyDescent="0.3">
      <c r="A65" s="2" t="s">
        <v>22</v>
      </c>
      <c r="B65" s="2" t="s">
        <v>21</v>
      </c>
      <c r="C65" s="2" t="s">
        <v>20</v>
      </c>
      <c r="D65" s="2">
        <v>55</v>
      </c>
      <c r="E65" s="4">
        <v>46178</v>
      </c>
      <c r="F65" s="4">
        <v>46543</v>
      </c>
      <c r="G65" s="2">
        <f t="shared" si="4"/>
        <v>12</v>
      </c>
      <c r="H65" s="3">
        <v>17000</v>
      </c>
      <c r="I65" s="3">
        <f t="shared" si="5"/>
        <v>17000</v>
      </c>
      <c r="J65" s="3">
        <f t="shared" si="6"/>
        <v>204000</v>
      </c>
      <c r="K65" s="2" t="str">
        <f t="shared" ca="1" si="7"/>
        <v>Devam Ediyor</v>
      </c>
    </row>
    <row r="66" spans="1:11" x14ac:dyDescent="0.3">
      <c r="A66" s="2" t="s">
        <v>19</v>
      </c>
      <c r="B66" s="2" t="s">
        <v>1</v>
      </c>
      <c r="C66" s="2" t="s">
        <v>18</v>
      </c>
      <c r="D66" s="2">
        <v>108</v>
      </c>
      <c r="E66" s="4">
        <v>46180</v>
      </c>
      <c r="F66" s="4">
        <v>46728</v>
      </c>
      <c r="G66" s="2">
        <f t="shared" ref="G66:G73" si="8">DATEDIF(E66,F66,"m")</f>
        <v>18</v>
      </c>
      <c r="H66" s="3">
        <v>18000</v>
      </c>
      <c r="I66" s="3">
        <f t="shared" ref="I66:I73" si="9">H66</f>
        <v>18000</v>
      </c>
      <c r="J66" s="3">
        <f t="shared" ref="J66:J73" si="10">G66*H66</f>
        <v>324000</v>
      </c>
      <c r="K66" s="2" t="str">
        <f t="shared" ref="K66:K73" ca="1" si="11">IF(F66&gt;TODAY(),"Devam Ediyor","Bitti")</f>
        <v>Devam Ediyor</v>
      </c>
    </row>
    <row r="67" spans="1:11" x14ac:dyDescent="0.3">
      <c r="A67" s="2" t="s">
        <v>17</v>
      </c>
      <c r="B67" s="2" t="s">
        <v>16</v>
      </c>
      <c r="C67" s="2" t="s">
        <v>15</v>
      </c>
      <c r="D67" s="2">
        <v>60</v>
      </c>
      <c r="E67" s="4">
        <v>46180</v>
      </c>
      <c r="F67" s="4">
        <v>46911</v>
      </c>
      <c r="G67" s="2">
        <f t="shared" si="8"/>
        <v>24</v>
      </c>
      <c r="H67" s="3">
        <v>25000</v>
      </c>
      <c r="I67" s="3">
        <f t="shared" si="9"/>
        <v>25000</v>
      </c>
      <c r="J67" s="3">
        <f t="shared" si="10"/>
        <v>600000</v>
      </c>
      <c r="K67" s="2" t="str">
        <f t="shared" ca="1" si="11"/>
        <v>Devam Ediyor</v>
      </c>
    </row>
    <row r="68" spans="1:11" x14ac:dyDescent="0.3">
      <c r="A68" s="2" t="s">
        <v>14</v>
      </c>
      <c r="B68" s="2" t="s">
        <v>1</v>
      </c>
      <c r="C68" s="2" t="s">
        <v>13</v>
      </c>
      <c r="D68" s="2">
        <v>46</v>
      </c>
      <c r="E68" s="4">
        <v>46196</v>
      </c>
      <c r="F68" s="4">
        <v>46927</v>
      </c>
      <c r="G68" s="2">
        <f t="shared" si="8"/>
        <v>24</v>
      </c>
      <c r="H68" s="3">
        <v>15000</v>
      </c>
      <c r="I68" s="3">
        <f t="shared" si="9"/>
        <v>15000</v>
      </c>
      <c r="J68" s="3">
        <f t="shared" si="10"/>
        <v>360000</v>
      </c>
      <c r="K68" s="2" t="str">
        <f t="shared" ca="1" si="11"/>
        <v>Devam Ediyor</v>
      </c>
    </row>
    <row r="69" spans="1:11" x14ac:dyDescent="0.3">
      <c r="A69" s="2" t="s">
        <v>12</v>
      </c>
      <c r="B69" s="2" t="s">
        <v>1</v>
      </c>
      <c r="C69" s="2" t="s">
        <v>11</v>
      </c>
      <c r="D69" s="2">
        <v>84</v>
      </c>
      <c r="E69" s="4">
        <v>46200</v>
      </c>
      <c r="F69" s="4">
        <v>46931</v>
      </c>
      <c r="G69" s="2">
        <f t="shared" si="8"/>
        <v>24</v>
      </c>
      <c r="H69" s="3">
        <v>11000</v>
      </c>
      <c r="I69" s="3">
        <f t="shared" si="9"/>
        <v>11000</v>
      </c>
      <c r="J69" s="3">
        <f t="shared" si="10"/>
        <v>264000</v>
      </c>
      <c r="K69" s="2" t="str">
        <f t="shared" ca="1" si="11"/>
        <v>Devam Ediyor</v>
      </c>
    </row>
    <row r="70" spans="1:11" x14ac:dyDescent="0.3">
      <c r="A70" s="2" t="s">
        <v>10</v>
      </c>
      <c r="B70" s="2" t="s">
        <v>1</v>
      </c>
      <c r="C70" s="2" t="s">
        <v>9</v>
      </c>
      <c r="D70" s="2">
        <v>137</v>
      </c>
      <c r="E70" s="4">
        <v>46202</v>
      </c>
      <c r="F70" s="4">
        <v>46659</v>
      </c>
      <c r="G70" s="2">
        <f t="shared" si="8"/>
        <v>15</v>
      </c>
      <c r="H70" s="3">
        <v>18500</v>
      </c>
      <c r="I70" s="3">
        <f t="shared" si="9"/>
        <v>18500</v>
      </c>
      <c r="J70" s="3">
        <f t="shared" si="10"/>
        <v>277500</v>
      </c>
      <c r="K70" s="2" t="str">
        <f t="shared" ca="1" si="11"/>
        <v>Devam Ediyor</v>
      </c>
    </row>
    <row r="71" spans="1:11" x14ac:dyDescent="0.3">
      <c r="A71" s="2" t="s">
        <v>8</v>
      </c>
      <c r="B71" s="2" t="s">
        <v>7</v>
      </c>
      <c r="C71" s="2" t="s">
        <v>6</v>
      </c>
      <c r="D71" s="2">
        <v>105</v>
      </c>
      <c r="E71" s="4">
        <v>46204</v>
      </c>
      <c r="F71" s="4">
        <v>47300</v>
      </c>
      <c r="G71" s="2">
        <f t="shared" si="8"/>
        <v>36</v>
      </c>
      <c r="H71" s="3">
        <v>18000</v>
      </c>
      <c r="I71" s="3">
        <f t="shared" si="9"/>
        <v>18000</v>
      </c>
      <c r="J71" s="3">
        <f t="shared" si="10"/>
        <v>648000</v>
      </c>
      <c r="K71" s="2" t="str">
        <f t="shared" ca="1" si="11"/>
        <v>Devam Ediyor</v>
      </c>
    </row>
    <row r="72" spans="1:11" x14ac:dyDescent="0.3">
      <c r="A72" s="2" t="s">
        <v>5</v>
      </c>
      <c r="B72" s="2" t="s">
        <v>4</v>
      </c>
      <c r="C72" s="2" t="s">
        <v>3</v>
      </c>
      <c r="D72" s="2">
        <v>117</v>
      </c>
      <c r="E72" s="4">
        <v>46207</v>
      </c>
      <c r="F72" s="4">
        <v>47303</v>
      </c>
      <c r="G72" s="2">
        <f t="shared" si="8"/>
        <v>36</v>
      </c>
      <c r="H72" s="3">
        <v>14500</v>
      </c>
      <c r="I72" s="3">
        <f t="shared" si="9"/>
        <v>14500</v>
      </c>
      <c r="J72" s="3">
        <f t="shared" si="10"/>
        <v>522000</v>
      </c>
      <c r="K72" s="2" t="str">
        <f t="shared" ca="1" si="11"/>
        <v>Devam Ediyor</v>
      </c>
    </row>
    <row r="73" spans="1:11" x14ac:dyDescent="0.3">
      <c r="A73" s="2" t="s">
        <v>2</v>
      </c>
      <c r="B73" s="2" t="s">
        <v>1</v>
      </c>
      <c r="C73" s="2" t="s">
        <v>0</v>
      </c>
      <c r="D73" s="2">
        <v>133</v>
      </c>
      <c r="E73" s="4">
        <v>46216</v>
      </c>
      <c r="F73" s="4">
        <v>47131</v>
      </c>
      <c r="G73" s="2">
        <f t="shared" si="8"/>
        <v>30</v>
      </c>
      <c r="H73" s="3">
        <v>20000</v>
      </c>
      <c r="I73" s="3">
        <f t="shared" si="9"/>
        <v>20000</v>
      </c>
      <c r="J73" s="3">
        <f t="shared" si="10"/>
        <v>600000</v>
      </c>
      <c r="K73" s="2" t="str">
        <f t="shared" ca="1" si="11"/>
        <v>Devam Ediyor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YASEMİN RANDA</cp:lastModifiedBy>
  <dcterms:created xsi:type="dcterms:W3CDTF">2015-06-05T18:19:34Z</dcterms:created>
  <dcterms:modified xsi:type="dcterms:W3CDTF">2026-07-22T13:21:39Z</dcterms:modified>
</cp:coreProperties>
</file>